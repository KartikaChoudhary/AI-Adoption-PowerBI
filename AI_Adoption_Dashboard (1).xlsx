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B98A4C7-EF08-4DDF-9CA0-9E007260079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shboard" sheetId="1" r:id="rId1"/>
    <sheet name="Data" sheetId="2" r:id="rId2"/>
    <sheet name="Char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7" i="1" l="1"/>
  <c r="I7" i="1"/>
  <c r="E7" i="1"/>
  <c r="A7" i="1"/>
</calcChain>
</file>

<file path=xl/sharedStrings.xml><?xml version="1.0" encoding="utf-8"?>
<sst xmlns="http://schemas.openxmlformats.org/spreadsheetml/2006/main" count="125" uniqueCount="71">
  <si>
    <t>AI ADOPTION IN EACH SECTOR — POWER BI STYLE ANALYTICS DASHBOARD</t>
  </si>
  <si>
    <t>All Sectors</t>
  </si>
  <si>
    <t>Highest Adoption</t>
  </si>
  <si>
    <t>Total Investment</t>
  </si>
  <si>
    <t>Avg Forecast 2030</t>
  </si>
  <si>
    <t>Fastest YoY Growth</t>
  </si>
  <si>
    <t>● High</t>
  </si>
  <si>
    <t>● Medium</t>
  </si>
  <si>
    <t>Technology Sector</t>
  </si>
  <si>
    <t>USD Billion (2024)</t>
  </si>
  <si>
    <t>Projected Rate</t>
  </si>
  <si>
    <t>Agriculture Sector</t>
  </si>
  <si>
    <t>● Low</t>
  </si>
  <si>
    <t xml:space="preserve">  📊  AI Adoption Rate by Sector (%)</t>
  </si>
  <si>
    <t xml:space="preserve">  🍩  AI Investment Distribution by Sector ($B)</t>
  </si>
  <si>
    <t xml:space="preserve">  📈  Year-over-Year Growth Rate by Sector (%)</t>
  </si>
  <si>
    <t xml:space="preserve">  📋  Sector Summary Table</t>
  </si>
  <si>
    <t>Sector</t>
  </si>
  <si>
    <t>Adoption %</t>
  </si>
  <si>
    <t>YoY Growth %</t>
  </si>
  <si>
    <t>Investment ($B)</t>
  </si>
  <si>
    <t>Forecast 2030 %</t>
  </si>
  <si>
    <t>Maturity</t>
  </si>
  <si>
    <t>Technology</t>
  </si>
  <si>
    <t>High</t>
  </si>
  <si>
    <t>Finance &amp; Banking</t>
  </si>
  <si>
    <t>Cybersecurity</t>
  </si>
  <si>
    <t>Healthcare</t>
  </si>
  <si>
    <t>Medium</t>
  </si>
  <si>
    <t>Media &amp; Entertainment</t>
  </si>
  <si>
    <t>Retail &amp; E-Commerce</t>
  </si>
  <si>
    <t>Manufacturing</t>
  </si>
  <si>
    <t>Education</t>
  </si>
  <si>
    <t>Low</t>
  </si>
  <si>
    <t>Transportation</t>
  </si>
  <si>
    <t>Energy &amp; Utilities</t>
  </si>
  <si>
    <t>Agriculture</t>
  </si>
  <si>
    <t>Region</t>
  </si>
  <si>
    <t>Adoption_Rate_Percent</t>
  </si>
  <si>
    <t>Investment_Billion_USD</t>
  </si>
  <si>
    <t>Forecast_2030_Percent</t>
  </si>
  <si>
    <t>Top_Use_Case</t>
  </si>
  <si>
    <t>YoY_Growth_Percent</t>
  </si>
  <si>
    <t>Maturity_Level</t>
  </si>
  <si>
    <t>Barrier</t>
  </si>
  <si>
    <t>ROI_Multiplier</t>
  </si>
  <si>
    <t>Global</t>
  </si>
  <si>
    <t>ML, NLP, Computer Vision</t>
  </si>
  <si>
    <t>Talent Shortage</t>
  </si>
  <si>
    <t>Fraud Detection, Algo Trading</t>
  </si>
  <si>
    <t>Regulation</t>
  </si>
  <si>
    <t>Threat Detection, Zero-Trust</t>
  </si>
  <si>
    <t>Data Privacy</t>
  </si>
  <si>
    <t>Disease Prediction, Drug Discovery</t>
  </si>
  <si>
    <t>Content Recommendation, GenAI</t>
  </si>
  <si>
    <t>IP Rights</t>
  </si>
  <si>
    <t>Recommendation Engines, Demand Forecast</t>
  </si>
  <si>
    <t>Integration Cost</t>
  </si>
  <si>
    <t>Predictive Maintenance, Quality Control</t>
  </si>
  <si>
    <t>Legacy Systems</t>
  </si>
  <si>
    <t>Adaptive Learning, Auto Grading</t>
  </si>
  <si>
    <t>Infrastructure</t>
  </si>
  <si>
    <t>Autonomous Vehicles, Route Optimization</t>
  </si>
  <si>
    <t>Smart Grid, Demand Forecasting</t>
  </si>
  <si>
    <t>Crop Monitoring, Yield Prediction, Drones</t>
  </si>
  <si>
    <t>Connectivity</t>
  </si>
  <si>
    <t>Adoption Rate (%)</t>
  </si>
  <si>
    <t>YoY Growth (%)</t>
  </si>
  <si>
    <t>Media &amp; Ent.</t>
  </si>
  <si>
    <t>Retail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</si>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</sst>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%"/>
    <numFmt numFmtId="165" formatCode="\$#,##0\B"/>
  </numFmts>
  <fonts count="17" x14ac:knownFonts="1">
    <font>
      <sz val="11"/>
      <color theme="1"/>
      <name val="Calibri"/>
      <family val="2"/>
      <charset val="1"/>
    </font>
    <font>
      <b/>
      <sz val="18"/>
      <color rgb="FFFFFFFF"/>
      <name val="Arial Black"/>
      <charset val="1"/>
    </font>
    <font>
      <b/>
      <sz val="10"/>
      <color rgb="FFFFFFFF"/>
      <name val="Arial Black"/>
      <charset val="1"/>
    </font>
    <font>
      <i/>
      <sz val="10"/>
      <color rgb="FFCADCFC"/>
      <name val="Arial"/>
      <charset val="1"/>
    </font>
    <font>
      <b/>
      <sz val="10"/>
      <color rgb="FF1B2A6B"/>
      <name val="Arial"/>
      <charset val="1"/>
    </font>
    <font>
      <sz val="10"/>
      <color rgb="FF374151"/>
      <name val="Arial"/>
      <charset val="1"/>
    </font>
    <font>
      <b/>
      <sz val="22"/>
      <color rgb="FF1B2A6B"/>
      <name val="Arial Black"/>
      <charset val="1"/>
    </font>
    <font>
      <b/>
      <sz val="22"/>
      <color rgb="FF1B6B3A"/>
      <name val="Arial Black"/>
      <charset val="1"/>
    </font>
    <font>
      <b/>
      <sz val="22"/>
      <color rgb="FF7C2D12"/>
      <name val="Arial Black"/>
      <charset val="1"/>
    </font>
    <font>
      <b/>
      <sz val="22"/>
      <color rgb="FF7C3AED"/>
      <name val="Arial Black"/>
      <charset val="1"/>
    </font>
    <font>
      <i/>
      <sz val="9"/>
      <color rgb="FF6B7280"/>
      <name val="Arial"/>
      <charset val="1"/>
    </font>
    <font>
      <b/>
      <sz val="11"/>
      <color rgb="FFFFFFFF"/>
      <name val="Arial Black"/>
      <charset val="1"/>
    </font>
    <font>
      <b/>
      <sz val="10"/>
      <color rgb="FFFFFFFF"/>
      <name val="Arial"/>
      <charset val="1"/>
    </font>
    <font>
      <sz val="9.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Cambria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6B"/>
        <bgColor rgb="FF2D4080"/>
      </patternFill>
    </fill>
    <fill>
      <patternFill patternType="solid">
        <fgColor rgb="FF374151"/>
        <bgColor rgb="FF2D4080"/>
      </patternFill>
    </fill>
    <fill>
      <patternFill patternType="solid">
        <fgColor rgb="FF2D4080"/>
        <bgColor rgb="FF374151"/>
      </patternFill>
    </fill>
    <fill>
      <patternFill patternType="solid">
        <fgColor rgb="FF1B6B3A"/>
        <bgColor rgb="FF374151"/>
      </patternFill>
    </fill>
    <fill>
      <patternFill patternType="solid">
        <fgColor rgb="FF7C2D12"/>
        <bgColor rgb="FF800000"/>
      </patternFill>
    </fill>
    <fill>
      <patternFill patternType="solid">
        <fgColor rgb="FF7C3AED"/>
        <bgColor rgb="FF9333EA"/>
      </patternFill>
    </fill>
    <fill>
      <patternFill patternType="solid">
        <fgColor rgb="FFDBEAFE"/>
        <bgColor rgb="FFE5E7EB"/>
      </patternFill>
    </fill>
    <fill>
      <patternFill patternType="solid">
        <fgColor rgb="FFEEF2FF"/>
        <bgColor rgb="FFF0F4FF"/>
      </patternFill>
    </fill>
    <fill>
      <patternFill patternType="solid">
        <fgColor rgb="FFE5E7EB"/>
        <bgColor rgb="FFDBEAFE"/>
      </patternFill>
    </fill>
    <fill>
      <patternFill patternType="solid">
        <fgColor rgb="FFF0F4FF"/>
        <bgColor rgb="FFEEF2FF"/>
      </patternFill>
    </fill>
    <fill>
      <patternFill patternType="solid">
        <fgColor rgb="FFFFFFFF"/>
        <bgColor rgb="FFF9F9F9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1" fillId="2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164" fontId="9" fillId="9" borderId="0" xfId="0" applyNumberFormat="1" applyFont="1" applyFill="1" applyAlignment="1">
      <alignment horizontal="center" vertical="center"/>
    </xf>
    <xf numFmtId="164" fontId="8" fillId="9" borderId="0" xfId="0" applyNumberFormat="1" applyFont="1" applyFill="1" applyAlignment="1">
      <alignment horizontal="center" vertical="center"/>
    </xf>
    <xf numFmtId="165" fontId="7" fillId="9" borderId="0" xfId="0" applyNumberFormat="1" applyFont="1" applyFill="1" applyAlignment="1">
      <alignment horizontal="center" vertical="center"/>
    </xf>
    <xf numFmtId="164" fontId="6" fillId="9" borderId="0" xfId="0" applyNumberFormat="1" applyFont="1" applyFill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4" fillId="9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2" fillId="2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/>
    </xf>
    <xf numFmtId="164" fontId="13" fillId="11" borderId="2" xfId="0" applyNumberFormat="1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164" fontId="13" fillId="12" borderId="2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left" vertical="center"/>
    </xf>
    <xf numFmtId="0" fontId="15" fillId="11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left" vertical="center"/>
    </xf>
    <xf numFmtId="0" fontId="15" fillId="12" borderId="2" xfId="0" applyFont="1" applyFill="1" applyBorder="1" applyAlignment="1">
      <alignment horizontal="center" vertical="center"/>
    </xf>
    <xf numFmtId="0" fontId="16" fillId="2" borderId="0" xfId="0" applyFont="1" applyFill="1"/>
    <xf numFmtId="0" fontId="15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65A30D"/>
      <rgbColor rgb="FF800080"/>
      <rgbColor rgb="FF0D9488"/>
      <rgbColor rgb="FFCCCCCC"/>
      <rgbColor rgb="FF878787"/>
      <rgbColor rgb="FF6366F1"/>
      <rgbColor rgb="FF9333EA"/>
      <rgbColor rgb="FFF9F9F9"/>
      <rgbColor rgb="FFDBEAFE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EEF2FF"/>
      <rgbColor rgb="FFE5E7EB"/>
      <rgbColor rgb="FFF0F4FF"/>
      <rgbColor rgb="FF99CCFF"/>
      <rgbColor rgb="FFFF99CC"/>
      <rgbColor rgb="FFCC99FF"/>
      <rgbColor rgb="FFD9D9D9"/>
      <rgbColor rgb="FF2563EB"/>
      <rgbColor rgb="FF33CCCC"/>
      <rgbColor rgb="FF99CC00"/>
      <rgbColor rgb="FFFFCC00"/>
      <rgbColor rgb="FFCA8A04"/>
      <rgbColor rgb="FFEA580C"/>
      <rgbColor rgb="FF6B7280"/>
      <rgbColor rgb="FF4F81BD"/>
      <rgbColor rgb="FF1B2A6B"/>
      <rgbColor rgb="FF16A34A"/>
      <rgbColor rgb="FF003300"/>
      <rgbColor rgb="FF333300"/>
      <rgbColor rgb="FF7C2D12"/>
      <rgbColor rgb="FF7C3AED"/>
      <rgbColor rgb="FF2D4080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AI Adoption Rate by Sector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Adoption Rate (%)</c:v>
                </c:pt>
              </c:strCache>
            </c:strRef>
          </c:tx>
          <c:spPr>
            <a:solidFill>
              <a:srgbClr val="1B2A6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Charts!$A$2:$A$12</c:f>
              <c:strCache>
                <c:ptCount val="11"/>
                <c:pt idx="0">
                  <c:v>Technology</c:v>
                </c:pt>
                <c:pt idx="1">
                  <c:v>Finance &amp; Banking</c:v>
                </c:pt>
                <c:pt idx="2">
                  <c:v>Cybersecurity</c:v>
                </c:pt>
                <c:pt idx="3">
                  <c:v>Healthcare</c:v>
                </c:pt>
                <c:pt idx="4">
                  <c:v>Media &amp; Ent.</c:v>
                </c:pt>
                <c:pt idx="5">
                  <c:v>Retail</c:v>
                </c:pt>
                <c:pt idx="6">
                  <c:v>Manufacturing</c:v>
                </c:pt>
                <c:pt idx="7">
                  <c:v>Education</c:v>
                </c:pt>
                <c:pt idx="8">
                  <c:v>Transportation</c:v>
                </c:pt>
                <c:pt idx="9">
                  <c:v>Energy</c:v>
                </c:pt>
                <c:pt idx="10">
                  <c:v>Agriculture</c:v>
                </c:pt>
              </c:strCache>
            </c:strRef>
          </c:cat>
          <c:val>
            <c:numRef>
              <c:f>Charts!$B$2:$B$12</c:f>
              <c:numCache>
                <c:formatCode>General</c:formatCode>
                <c:ptCount val="11"/>
                <c:pt idx="0">
                  <c:v>78</c:v>
                </c:pt>
                <c:pt idx="1">
                  <c:v>72</c:v>
                </c:pt>
                <c:pt idx="2">
                  <c:v>69</c:v>
                </c:pt>
                <c:pt idx="3">
                  <c:v>65</c:v>
                </c:pt>
                <c:pt idx="4">
                  <c:v>61</c:v>
                </c:pt>
                <c:pt idx="5">
                  <c:v>58</c:v>
                </c:pt>
                <c:pt idx="6">
                  <c:v>55</c:v>
                </c:pt>
                <c:pt idx="7">
                  <c:v>48</c:v>
                </c:pt>
                <c:pt idx="8">
                  <c:v>46</c:v>
                </c:pt>
                <c:pt idx="9">
                  <c:v>42</c:v>
                </c:pt>
                <c:pt idx="1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D-4BF3-AC9D-8A8312CBB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82546"/>
        <c:axId val="40418886"/>
      </c:barChart>
      <c:catAx>
        <c:axId val="2458254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Adoption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418886"/>
        <c:crosses val="autoZero"/>
        <c:auto val="1"/>
        <c:lblAlgn val="ctr"/>
        <c:lblOffset val="100"/>
        <c:noMultiLvlLbl val="0"/>
      </c:catAx>
      <c:valAx>
        <c:axId val="4041888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5825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AI Investment Distribution by Sector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Charts!$D$1</c:f>
              <c:strCache>
                <c:ptCount val="1"/>
                <c:pt idx="0">
                  <c:v>Investment ($B)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1B2A6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7E2-4A9B-9D26-86319012B38D}"/>
              </c:ext>
            </c:extLst>
          </c:dPt>
          <c:dPt>
            <c:idx val="1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7E2-4A9B-9D26-86319012B38D}"/>
              </c:ext>
            </c:extLst>
          </c:dPt>
          <c:dPt>
            <c:idx val="2"/>
            <c:bubble3D val="0"/>
            <c:spPr>
              <a:solidFill>
                <a:srgbClr val="0891B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87E2-4A9B-9D26-86319012B38D}"/>
              </c:ext>
            </c:extLst>
          </c:dPt>
          <c:dPt>
            <c:idx val="3"/>
            <c:bubble3D val="0"/>
            <c:spPr>
              <a:solidFill>
                <a:srgbClr val="0D948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87E2-4A9B-9D26-86319012B38D}"/>
              </c:ext>
            </c:extLst>
          </c:dPt>
          <c:dPt>
            <c:idx val="4"/>
            <c:bubble3D val="0"/>
            <c:spPr>
              <a:solidFill>
                <a:srgbClr val="16A34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87E2-4A9B-9D26-86319012B38D}"/>
              </c:ext>
            </c:extLst>
          </c:dPt>
          <c:dPt>
            <c:idx val="5"/>
            <c:bubble3D val="0"/>
            <c:spPr>
              <a:solidFill>
                <a:srgbClr val="65A30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87E2-4A9B-9D26-86319012B38D}"/>
              </c:ext>
            </c:extLst>
          </c:dPt>
          <c:dPt>
            <c:idx val="6"/>
            <c:bubble3D val="0"/>
            <c:spPr>
              <a:solidFill>
                <a:srgbClr val="CA8A0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87E2-4A9B-9D26-86319012B38D}"/>
              </c:ext>
            </c:extLst>
          </c:dPt>
          <c:dPt>
            <c:idx val="7"/>
            <c:bubble3D val="0"/>
            <c:spPr>
              <a:solidFill>
                <a:srgbClr val="EA580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87E2-4A9B-9D26-86319012B38D}"/>
              </c:ext>
            </c:extLst>
          </c:dPt>
          <c:dPt>
            <c:idx val="8"/>
            <c:bubble3D val="0"/>
            <c:spPr>
              <a:solidFill>
                <a:srgbClr val="DC262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87E2-4A9B-9D26-86319012B38D}"/>
              </c:ext>
            </c:extLst>
          </c:dPt>
          <c:dPt>
            <c:idx val="9"/>
            <c:bubble3D val="0"/>
            <c:spPr>
              <a:solidFill>
                <a:srgbClr val="9333E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87E2-4A9B-9D26-86319012B38D}"/>
              </c:ext>
            </c:extLst>
          </c:dPt>
          <c:dPt>
            <c:idx val="10"/>
            <c:bubble3D val="0"/>
            <c:spPr>
              <a:solidFill>
                <a:srgbClr val="6366F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87E2-4A9B-9D26-86319012B38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7E2-4A9B-9D26-86319012B38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7E2-4A9B-9D26-86319012B38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7E2-4A9B-9D26-86319012B38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87E2-4A9B-9D26-86319012B38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87E2-4A9B-9D26-86319012B38D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87E2-4A9B-9D26-86319012B38D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87E2-4A9B-9D26-86319012B38D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87E2-4A9B-9D26-86319012B38D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87E2-4A9B-9D26-86319012B38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87E2-4A9B-9D26-86319012B38D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5-87E2-4A9B-9D26-86319012B3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Charts!$A$2:$A$12</c:f>
              <c:strCache>
                <c:ptCount val="11"/>
                <c:pt idx="0">
                  <c:v>Technology</c:v>
                </c:pt>
                <c:pt idx="1">
                  <c:v>Finance &amp; Banking</c:v>
                </c:pt>
                <c:pt idx="2">
                  <c:v>Cybersecurity</c:v>
                </c:pt>
                <c:pt idx="3">
                  <c:v>Healthcare</c:v>
                </c:pt>
                <c:pt idx="4">
                  <c:v>Media &amp; Ent.</c:v>
                </c:pt>
                <c:pt idx="5">
                  <c:v>Retail</c:v>
                </c:pt>
                <c:pt idx="6">
                  <c:v>Manufacturing</c:v>
                </c:pt>
                <c:pt idx="7">
                  <c:v>Education</c:v>
                </c:pt>
                <c:pt idx="8">
                  <c:v>Transportation</c:v>
                </c:pt>
                <c:pt idx="9">
                  <c:v>Energy</c:v>
                </c:pt>
                <c:pt idx="10">
                  <c:v>Agriculture</c:v>
                </c:pt>
              </c:strCache>
            </c:strRef>
          </c:cat>
          <c:val>
            <c:numRef>
              <c:f>Charts!$D$2:$D$12</c:f>
              <c:numCache>
                <c:formatCode>General</c:formatCode>
                <c:ptCount val="11"/>
                <c:pt idx="0">
                  <c:v>107</c:v>
                </c:pt>
                <c:pt idx="1">
                  <c:v>67</c:v>
                </c:pt>
                <c:pt idx="2">
                  <c:v>29</c:v>
                </c:pt>
                <c:pt idx="3">
                  <c:v>55</c:v>
                </c:pt>
                <c:pt idx="4">
                  <c:v>19</c:v>
                </c:pt>
                <c:pt idx="5">
                  <c:v>24</c:v>
                </c:pt>
                <c:pt idx="6">
                  <c:v>37</c:v>
                </c:pt>
                <c:pt idx="7">
                  <c:v>11</c:v>
                </c:pt>
                <c:pt idx="8">
                  <c:v>18</c:v>
                </c:pt>
                <c:pt idx="9">
                  <c:v>14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7E2-4A9B-9D26-86319012B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Year-over-Year AI Adoption Growth Rate by Sector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Charts!$C$1</c:f>
              <c:strCache>
                <c:ptCount val="1"/>
                <c:pt idx="0">
                  <c:v>YoY Growth (%)</c:v>
                </c:pt>
              </c:strCache>
            </c:strRef>
          </c:tx>
          <c:spPr>
            <a:solidFill>
              <a:srgbClr val="16A3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Charts!$A$2:$A$12</c:f>
              <c:strCache>
                <c:ptCount val="11"/>
                <c:pt idx="0">
                  <c:v>Technology</c:v>
                </c:pt>
                <c:pt idx="1">
                  <c:v>Finance &amp; Banking</c:v>
                </c:pt>
                <c:pt idx="2">
                  <c:v>Cybersecurity</c:v>
                </c:pt>
                <c:pt idx="3">
                  <c:v>Healthcare</c:v>
                </c:pt>
                <c:pt idx="4">
                  <c:v>Media &amp; Ent.</c:v>
                </c:pt>
                <c:pt idx="5">
                  <c:v>Retail</c:v>
                </c:pt>
                <c:pt idx="6">
                  <c:v>Manufacturing</c:v>
                </c:pt>
                <c:pt idx="7">
                  <c:v>Education</c:v>
                </c:pt>
                <c:pt idx="8">
                  <c:v>Transportation</c:v>
                </c:pt>
                <c:pt idx="9">
                  <c:v>Energy</c:v>
                </c:pt>
                <c:pt idx="10">
                  <c:v>Agriculture</c:v>
                </c:pt>
              </c:strCache>
            </c:strRef>
          </c:cat>
          <c:val>
            <c:numRef>
              <c:f>Charts!$C$2:$C$12</c:f>
              <c:numCache>
                <c:formatCode>General</c:formatCode>
                <c:ptCount val="11"/>
                <c:pt idx="0">
                  <c:v>12</c:v>
                </c:pt>
                <c:pt idx="1">
                  <c:v>10</c:v>
                </c:pt>
                <c:pt idx="2">
                  <c:v>20</c:v>
                </c:pt>
                <c:pt idx="3">
                  <c:v>18</c:v>
                </c:pt>
                <c:pt idx="4">
                  <c:v>11</c:v>
                </c:pt>
                <c:pt idx="5">
                  <c:v>9</c:v>
                </c:pt>
                <c:pt idx="6">
                  <c:v>14</c:v>
                </c:pt>
                <c:pt idx="7">
                  <c:v>22</c:v>
                </c:pt>
                <c:pt idx="8">
                  <c:v>16</c:v>
                </c:pt>
                <c:pt idx="9">
                  <c:v>15</c:v>
                </c:pt>
                <c:pt idx="1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B-43B1-A7C7-E2722F020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02404"/>
        <c:axId val="27068500"/>
      </c:barChart>
      <c:catAx>
        <c:axId val="221024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68500"/>
        <c:crosses val="autoZero"/>
        <c:auto val="1"/>
        <c:lblAlgn val="ctr"/>
        <c:lblOffset val="100"/>
        <c:noMultiLvlLbl val="0"/>
      </c:catAx>
      <c:valAx>
        <c:axId val="270685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YoY Growth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1024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7620</xdr:rowOff>
    </xdr:from>
    <xdr:to>
      <xdr:col>7</xdr:col>
      <xdr:colOff>1592580</xdr:colOff>
      <xdr:row>26</xdr:row>
      <xdr:rowOff>829620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10</xdr:row>
      <xdr:rowOff>0</xdr:rowOff>
    </xdr:from>
    <xdr:to>
      <xdr:col>15</xdr:col>
      <xdr:colOff>256140</xdr:colOff>
      <xdr:row>26</xdr:row>
      <xdr:rowOff>822000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8</xdr:col>
      <xdr:colOff>7620</xdr:colOff>
      <xdr:row>51</xdr:row>
      <xdr:rowOff>16200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showGridLines="0" tabSelected="1" topLeftCell="D1" zoomScaleNormal="100" workbookViewId="0">
      <selection activeCell="H16" sqref="H16"/>
    </sheetView>
  </sheetViews>
  <sheetFormatPr defaultColWidth="8.6640625" defaultRowHeight="14.4" x14ac:dyDescent="0.3"/>
  <cols>
    <col min="1" max="3" width="3" customWidth="1"/>
    <col min="4" max="4" width="81.109375" customWidth="1"/>
    <col min="5" max="6" width="3" customWidth="1"/>
    <col min="7" max="7" width="47.21875" customWidth="1"/>
    <col min="8" max="8" width="23.6640625" customWidth="1"/>
    <col min="9" max="9" width="18" customWidth="1"/>
    <col min="10" max="10" width="10" customWidth="1"/>
    <col min="11" max="11" width="11" customWidth="1"/>
    <col min="12" max="13" width="13" customWidth="1"/>
    <col min="14" max="14" width="10" customWidth="1"/>
    <col min="15" max="15" width="3" customWidth="1"/>
    <col min="16" max="16" width="3.88671875" customWidth="1"/>
    <col min="17" max="17" width="0.21875" hidden="1" customWidth="1"/>
    <col min="18" max="19" width="6" hidden="1" customWidth="1"/>
  </cols>
  <sheetData>
    <row r="1" spans="1:19" ht="12" customHeight="1" x14ac:dyDescent="0.3"/>
    <row r="2" spans="1:19" ht="48" customHeight="1" x14ac:dyDescent="0.3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1"/>
      <c r="R2" s="11"/>
      <c r="S2" s="11"/>
    </row>
    <row r="3" spans="1:19" ht="21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11"/>
      <c r="S3" s="11"/>
    </row>
    <row r="4" spans="1:19" ht="12" customHeight="1" x14ac:dyDescent="0.3"/>
    <row r="5" spans="1:19" ht="13.5" customHeight="1" x14ac:dyDescent="0.3">
      <c r="A5" s="13"/>
      <c r="B5" s="13"/>
      <c r="C5" s="13"/>
      <c r="D5" s="13"/>
      <c r="E5" s="14"/>
      <c r="F5" s="14"/>
      <c r="G5" s="14"/>
      <c r="H5" s="14"/>
      <c r="I5" s="15"/>
      <c r="J5" s="15"/>
      <c r="K5" s="15"/>
      <c r="L5" s="15"/>
      <c r="M5" s="16"/>
      <c r="N5" s="16"/>
      <c r="O5" s="16"/>
      <c r="P5" s="16"/>
      <c r="Q5" s="9" t="s">
        <v>1</v>
      </c>
      <c r="R5" s="9"/>
      <c r="S5" s="9"/>
    </row>
    <row r="6" spans="1:19" ht="37.5" customHeight="1" x14ac:dyDescent="0.3">
      <c r="A6" s="8" t="s">
        <v>2</v>
      </c>
      <c r="B6" s="8"/>
      <c r="C6" s="8"/>
      <c r="D6" s="8"/>
      <c r="E6" s="8" t="s">
        <v>3</v>
      </c>
      <c r="F6" s="8"/>
      <c r="G6" s="8"/>
      <c r="H6" s="8"/>
      <c r="I6" s="8" t="s">
        <v>4</v>
      </c>
      <c r="J6" s="8"/>
      <c r="K6" s="8"/>
      <c r="L6" s="8"/>
      <c r="M6" s="8" t="s">
        <v>5</v>
      </c>
      <c r="N6" s="8"/>
      <c r="O6" s="8"/>
      <c r="P6" s="8"/>
      <c r="Q6" s="7" t="s">
        <v>6</v>
      </c>
      <c r="R6" s="7"/>
      <c r="S6" s="7"/>
    </row>
    <row r="7" spans="1:19" ht="21.75" customHeight="1" x14ac:dyDescent="0.3">
      <c r="A7" s="6">
        <f>MAX(Data!C2:C12)</f>
        <v>78</v>
      </c>
      <c r="B7" s="6"/>
      <c r="C7" s="6"/>
      <c r="D7" s="6"/>
      <c r="E7" s="5">
        <f>SUM(Data!D2:D12)</f>
        <v>389</v>
      </c>
      <c r="F7" s="5"/>
      <c r="G7" s="5"/>
      <c r="H7" s="5"/>
      <c r="I7" s="4">
        <f>AVERAGE(Data!E2:E12)</f>
        <v>79.454545454545453</v>
      </c>
      <c r="J7" s="4"/>
      <c r="K7" s="4"/>
      <c r="L7" s="4"/>
      <c r="M7" s="3">
        <f>MAX(Data!G2:G12)</f>
        <v>30</v>
      </c>
      <c r="N7" s="3"/>
      <c r="O7" s="3"/>
      <c r="P7" s="3"/>
      <c r="Q7" s="7" t="s">
        <v>7</v>
      </c>
      <c r="R7" s="7"/>
      <c r="S7" s="7"/>
    </row>
    <row r="8" spans="1:19" ht="13.5" customHeight="1" x14ac:dyDescent="0.3">
      <c r="A8" s="2" t="s">
        <v>8</v>
      </c>
      <c r="B8" s="2"/>
      <c r="C8" s="2"/>
      <c r="D8" s="2"/>
      <c r="E8" s="2" t="s">
        <v>9</v>
      </c>
      <c r="F8" s="2"/>
      <c r="G8" s="2"/>
      <c r="H8" s="2"/>
      <c r="I8" s="2" t="s">
        <v>10</v>
      </c>
      <c r="J8" s="2"/>
      <c r="K8" s="2"/>
      <c r="L8" s="2"/>
      <c r="M8" s="2" t="s">
        <v>11</v>
      </c>
      <c r="N8" s="2"/>
      <c r="O8" s="2"/>
      <c r="P8" s="2"/>
      <c r="Q8" s="7" t="s">
        <v>12</v>
      </c>
      <c r="R8" s="7"/>
      <c r="S8" s="7"/>
    </row>
    <row r="9" spans="1:19" ht="9.75" customHeight="1" x14ac:dyDescent="0.3"/>
    <row r="10" spans="1:19" ht="21.75" customHeight="1" x14ac:dyDescent="0.3">
      <c r="A10" s="1" t="s">
        <v>13</v>
      </c>
      <c r="B10" s="1"/>
      <c r="C10" s="1"/>
      <c r="D10" s="1"/>
      <c r="E10" s="1"/>
      <c r="F10" s="1"/>
      <c r="G10" s="1"/>
      <c r="H10" s="1"/>
      <c r="I10" s="1" t="s">
        <v>14</v>
      </c>
      <c r="J10" s="1"/>
      <c r="K10" s="1"/>
      <c r="L10" s="1"/>
      <c r="M10" s="1"/>
      <c r="N10" s="1"/>
      <c r="O10" s="1"/>
      <c r="P10" s="1"/>
    </row>
    <row r="25" spans="1:16" ht="78" customHeight="1" x14ac:dyDescent="0.3"/>
    <row r="27" spans="1:16" ht="66" customHeight="1" x14ac:dyDescent="0.3"/>
    <row r="28" spans="1:16" ht="37.799999999999997" hidden="1" customHeight="1" x14ac:dyDescent="0.3"/>
    <row r="29" spans="1:16" ht="25.8" customHeight="1" x14ac:dyDescent="0.3">
      <c r="A29" s="1" t="s">
        <v>15</v>
      </c>
      <c r="B29" s="1"/>
      <c r="C29" s="1"/>
      <c r="D29" s="1"/>
      <c r="E29" s="1"/>
      <c r="F29" s="1"/>
      <c r="G29" s="1"/>
      <c r="H29" s="1"/>
      <c r="I29" s="1" t="s">
        <v>16</v>
      </c>
      <c r="J29" s="1"/>
      <c r="K29" s="1"/>
      <c r="L29" s="1"/>
      <c r="M29" s="1"/>
      <c r="N29" s="1"/>
      <c r="O29" s="1"/>
      <c r="P29" s="1"/>
    </row>
    <row r="30" spans="1:16" ht="26.4" x14ac:dyDescent="0.3">
      <c r="I30" s="17" t="s">
        <v>17</v>
      </c>
      <c r="J30" s="17" t="s">
        <v>18</v>
      </c>
      <c r="K30" s="17" t="s">
        <v>19</v>
      </c>
      <c r="L30" s="17" t="s">
        <v>20</v>
      </c>
      <c r="M30" s="17" t="s">
        <v>21</v>
      </c>
      <c r="N30" s="17" t="s">
        <v>22</v>
      </c>
    </row>
    <row r="31" spans="1:16" x14ac:dyDescent="0.3">
      <c r="I31" s="18" t="s">
        <v>23</v>
      </c>
      <c r="J31" s="19">
        <v>78</v>
      </c>
      <c r="K31" s="19">
        <v>12</v>
      </c>
      <c r="L31" s="18">
        <v>107</v>
      </c>
      <c r="M31" s="19">
        <v>91</v>
      </c>
      <c r="N31" s="18" t="s">
        <v>24</v>
      </c>
    </row>
    <row r="32" spans="1:16" x14ac:dyDescent="0.3">
      <c r="I32" s="20" t="s">
        <v>25</v>
      </c>
      <c r="J32" s="21">
        <v>72</v>
      </c>
      <c r="K32" s="21">
        <v>10</v>
      </c>
      <c r="L32" s="20">
        <v>67</v>
      </c>
      <c r="M32" s="21">
        <v>86</v>
      </c>
      <c r="N32" s="20" t="s">
        <v>24</v>
      </c>
    </row>
    <row r="33" spans="9:14" x14ac:dyDescent="0.3">
      <c r="I33" s="18" t="s">
        <v>26</v>
      </c>
      <c r="J33" s="19">
        <v>69</v>
      </c>
      <c r="K33" s="19">
        <v>20</v>
      </c>
      <c r="L33" s="18">
        <v>29</v>
      </c>
      <c r="M33" s="19">
        <v>88</v>
      </c>
      <c r="N33" s="18" t="s">
        <v>24</v>
      </c>
    </row>
    <row r="34" spans="9:14" x14ac:dyDescent="0.3">
      <c r="I34" s="20" t="s">
        <v>27</v>
      </c>
      <c r="J34" s="21">
        <v>65</v>
      </c>
      <c r="K34" s="21">
        <v>18</v>
      </c>
      <c r="L34" s="20">
        <v>55</v>
      </c>
      <c r="M34" s="21">
        <v>84</v>
      </c>
      <c r="N34" s="20" t="s">
        <v>28</v>
      </c>
    </row>
    <row r="35" spans="9:14" x14ac:dyDescent="0.3">
      <c r="I35" s="18" t="s">
        <v>29</v>
      </c>
      <c r="J35" s="19">
        <v>61</v>
      </c>
      <c r="K35" s="19">
        <v>11</v>
      </c>
      <c r="L35" s="18">
        <v>19</v>
      </c>
      <c r="M35" s="19">
        <v>80</v>
      </c>
      <c r="N35" s="18" t="s">
        <v>28</v>
      </c>
    </row>
    <row r="36" spans="9:14" x14ac:dyDescent="0.3">
      <c r="I36" s="20" t="s">
        <v>30</v>
      </c>
      <c r="J36" s="21">
        <v>58</v>
      </c>
      <c r="K36" s="21">
        <v>9</v>
      </c>
      <c r="L36" s="20">
        <v>24</v>
      </c>
      <c r="M36" s="21">
        <v>76</v>
      </c>
      <c r="N36" s="20" t="s">
        <v>28</v>
      </c>
    </row>
    <row r="37" spans="9:14" x14ac:dyDescent="0.3">
      <c r="I37" s="18" t="s">
        <v>31</v>
      </c>
      <c r="J37" s="19">
        <v>55</v>
      </c>
      <c r="K37" s="19">
        <v>14</v>
      </c>
      <c r="L37" s="18">
        <v>37</v>
      </c>
      <c r="M37" s="19">
        <v>78</v>
      </c>
      <c r="N37" s="18" t="s">
        <v>28</v>
      </c>
    </row>
    <row r="38" spans="9:14" x14ac:dyDescent="0.3">
      <c r="I38" s="20" t="s">
        <v>32</v>
      </c>
      <c r="J38" s="21">
        <v>48</v>
      </c>
      <c r="K38" s="21">
        <v>22</v>
      </c>
      <c r="L38" s="20">
        <v>11</v>
      </c>
      <c r="M38" s="21">
        <v>79</v>
      </c>
      <c r="N38" s="20" t="s">
        <v>33</v>
      </c>
    </row>
    <row r="39" spans="9:14" x14ac:dyDescent="0.3">
      <c r="I39" s="18" t="s">
        <v>34</v>
      </c>
      <c r="J39" s="19">
        <v>46</v>
      </c>
      <c r="K39" s="19">
        <v>16</v>
      </c>
      <c r="L39" s="18">
        <v>18</v>
      </c>
      <c r="M39" s="19">
        <v>74</v>
      </c>
      <c r="N39" s="18" t="s">
        <v>33</v>
      </c>
    </row>
    <row r="40" spans="9:14" x14ac:dyDescent="0.3">
      <c r="I40" s="20" t="s">
        <v>35</v>
      </c>
      <c r="J40" s="21">
        <v>42</v>
      </c>
      <c r="K40" s="21">
        <v>15</v>
      </c>
      <c r="L40" s="20">
        <v>14</v>
      </c>
      <c r="M40" s="21">
        <v>71</v>
      </c>
      <c r="N40" s="20" t="s">
        <v>33</v>
      </c>
    </row>
    <row r="41" spans="9:14" x14ac:dyDescent="0.3">
      <c r="I41" s="18" t="s">
        <v>36</v>
      </c>
      <c r="J41" s="19">
        <v>23</v>
      </c>
      <c r="K41" s="19">
        <v>30</v>
      </c>
      <c r="L41" s="18">
        <v>8</v>
      </c>
      <c r="M41" s="19">
        <v>67</v>
      </c>
      <c r="N41" s="18" t="s">
        <v>33</v>
      </c>
    </row>
  </sheetData>
  <mergeCells count="23">
    <mergeCell ref="A10:H10"/>
    <mergeCell ref="I10:P10"/>
    <mergeCell ref="A29:H29"/>
    <mergeCell ref="I29:P29"/>
    <mergeCell ref="A8:D8"/>
    <mergeCell ref="E8:H8"/>
    <mergeCell ref="I8:L8"/>
    <mergeCell ref="M8:P8"/>
    <mergeCell ref="Q8:S8"/>
    <mergeCell ref="A7:D7"/>
    <mergeCell ref="E7:H7"/>
    <mergeCell ref="I7:L7"/>
    <mergeCell ref="M7:P7"/>
    <mergeCell ref="Q7:S7"/>
    <mergeCell ref="A2:P2"/>
    <mergeCell ref="Q2:S3"/>
    <mergeCell ref="A3:P3"/>
    <mergeCell ref="Q5:S5"/>
    <mergeCell ref="A6:D6"/>
    <mergeCell ref="E6:H6"/>
    <mergeCell ref="I6:L6"/>
    <mergeCell ref="M6:P6"/>
    <mergeCell ref="Q6:S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0" customWidth="1"/>
    <col min="3" max="3" width="14" customWidth="1"/>
    <col min="4" max="5" width="16" customWidth="1"/>
    <col min="6" max="6" width="38" customWidth="1"/>
    <col min="7" max="7" width="14" customWidth="1"/>
    <col min="8" max="8" width="10" customWidth="1"/>
    <col min="9" max="9" width="18" customWidth="1"/>
    <col min="10" max="10" width="12" customWidth="1"/>
  </cols>
  <sheetData>
    <row r="1" spans="1:10" ht="21.75" customHeight="1" x14ac:dyDescent="0.3">
      <c r="A1" s="22" t="s">
        <v>17</v>
      </c>
      <c r="B1" s="22" t="s">
        <v>37</v>
      </c>
      <c r="C1" s="22" t="s">
        <v>38</v>
      </c>
      <c r="D1" s="22" t="s">
        <v>39</v>
      </c>
      <c r="E1" s="22" t="s">
        <v>40</v>
      </c>
      <c r="F1" s="22" t="s">
        <v>41</v>
      </c>
      <c r="G1" s="22" t="s">
        <v>42</v>
      </c>
      <c r="H1" s="22" t="s">
        <v>43</v>
      </c>
      <c r="I1" s="22" t="s">
        <v>44</v>
      </c>
      <c r="J1" s="22" t="s">
        <v>45</v>
      </c>
    </row>
    <row r="2" spans="1:10" ht="21.75" customHeight="1" x14ac:dyDescent="0.3">
      <c r="A2" s="23" t="s">
        <v>23</v>
      </c>
      <c r="B2" s="24" t="s">
        <v>46</v>
      </c>
      <c r="C2" s="24">
        <v>78</v>
      </c>
      <c r="D2" s="24">
        <v>107</v>
      </c>
      <c r="E2" s="24">
        <v>91</v>
      </c>
      <c r="F2" s="24" t="s">
        <v>47</v>
      </c>
      <c r="G2" s="24">
        <v>12</v>
      </c>
      <c r="H2" s="24" t="s">
        <v>24</v>
      </c>
      <c r="I2" s="24" t="s">
        <v>48</v>
      </c>
      <c r="J2" s="24">
        <v>6.8</v>
      </c>
    </row>
    <row r="3" spans="1:10" ht="21.75" customHeight="1" x14ac:dyDescent="0.3">
      <c r="A3" s="25" t="s">
        <v>25</v>
      </c>
      <c r="B3" s="26" t="s">
        <v>46</v>
      </c>
      <c r="C3" s="26">
        <v>72</v>
      </c>
      <c r="D3" s="26">
        <v>67</v>
      </c>
      <c r="E3" s="26">
        <v>86</v>
      </c>
      <c r="F3" s="26" t="s">
        <v>49</v>
      </c>
      <c r="G3" s="26">
        <v>10</v>
      </c>
      <c r="H3" s="26" t="s">
        <v>24</v>
      </c>
      <c r="I3" s="26" t="s">
        <v>50</v>
      </c>
      <c r="J3" s="26">
        <v>5.9</v>
      </c>
    </row>
    <row r="4" spans="1:10" ht="21.75" customHeight="1" x14ac:dyDescent="0.3">
      <c r="A4" s="23" t="s">
        <v>26</v>
      </c>
      <c r="B4" s="24" t="s">
        <v>46</v>
      </c>
      <c r="C4" s="24">
        <v>69</v>
      </c>
      <c r="D4" s="24">
        <v>29</v>
      </c>
      <c r="E4" s="24">
        <v>88</v>
      </c>
      <c r="F4" s="24" t="s">
        <v>51</v>
      </c>
      <c r="G4" s="24">
        <v>20</v>
      </c>
      <c r="H4" s="24" t="s">
        <v>24</v>
      </c>
      <c r="I4" s="24" t="s">
        <v>52</v>
      </c>
      <c r="J4" s="24">
        <v>6.2</v>
      </c>
    </row>
    <row r="5" spans="1:10" ht="21.75" customHeight="1" x14ac:dyDescent="0.3">
      <c r="A5" s="25" t="s">
        <v>27</v>
      </c>
      <c r="B5" s="26" t="s">
        <v>46</v>
      </c>
      <c r="C5" s="26">
        <v>65</v>
      </c>
      <c r="D5" s="26">
        <v>55</v>
      </c>
      <c r="E5" s="26">
        <v>84</v>
      </c>
      <c r="F5" s="26" t="s">
        <v>53</v>
      </c>
      <c r="G5" s="26">
        <v>18</v>
      </c>
      <c r="H5" s="26" t="s">
        <v>28</v>
      </c>
      <c r="I5" s="26" t="s">
        <v>52</v>
      </c>
      <c r="J5" s="26">
        <v>5.5</v>
      </c>
    </row>
    <row r="6" spans="1:10" ht="21.75" customHeight="1" x14ac:dyDescent="0.3">
      <c r="A6" s="23" t="s">
        <v>29</v>
      </c>
      <c r="B6" s="24" t="s">
        <v>46</v>
      </c>
      <c r="C6" s="24">
        <v>61</v>
      </c>
      <c r="D6" s="24">
        <v>19</v>
      </c>
      <c r="E6" s="24">
        <v>80</v>
      </c>
      <c r="F6" s="24" t="s">
        <v>54</v>
      </c>
      <c r="G6" s="24">
        <v>11</v>
      </c>
      <c r="H6" s="24" t="s">
        <v>28</v>
      </c>
      <c r="I6" s="24" t="s">
        <v>55</v>
      </c>
      <c r="J6" s="24">
        <v>4.8</v>
      </c>
    </row>
    <row r="7" spans="1:10" ht="21.75" customHeight="1" x14ac:dyDescent="0.3">
      <c r="A7" s="25" t="s">
        <v>30</v>
      </c>
      <c r="B7" s="26" t="s">
        <v>46</v>
      </c>
      <c r="C7" s="26">
        <v>58</v>
      </c>
      <c r="D7" s="26">
        <v>24</v>
      </c>
      <c r="E7" s="26">
        <v>76</v>
      </c>
      <c r="F7" s="26" t="s">
        <v>56</v>
      </c>
      <c r="G7" s="26">
        <v>9</v>
      </c>
      <c r="H7" s="26" t="s">
        <v>28</v>
      </c>
      <c r="I7" s="26" t="s">
        <v>57</v>
      </c>
      <c r="J7" s="26">
        <v>4.5</v>
      </c>
    </row>
    <row r="8" spans="1:10" ht="21.75" customHeight="1" x14ac:dyDescent="0.3">
      <c r="A8" s="23" t="s">
        <v>31</v>
      </c>
      <c r="B8" s="24" t="s">
        <v>46</v>
      </c>
      <c r="C8" s="24">
        <v>55</v>
      </c>
      <c r="D8" s="24">
        <v>37</v>
      </c>
      <c r="E8" s="24">
        <v>78</v>
      </c>
      <c r="F8" s="24" t="s">
        <v>58</v>
      </c>
      <c r="G8" s="24">
        <v>14</v>
      </c>
      <c r="H8" s="24" t="s">
        <v>28</v>
      </c>
      <c r="I8" s="24" t="s">
        <v>59</v>
      </c>
      <c r="J8" s="24">
        <v>4.9000000000000004</v>
      </c>
    </row>
    <row r="9" spans="1:10" ht="21.75" customHeight="1" x14ac:dyDescent="0.3">
      <c r="A9" s="25" t="s">
        <v>32</v>
      </c>
      <c r="B9" s="26" t="s">
        <v>46</v>
      </c>
      <c r="C9" s="26">
        <v>48</v>
      </c>
      <c r="D9" s="26">
        <v>11</v>
      </c>
      <c r="E9" s="26">
        <v>79</v>
      </c>
      <c r="F9" s="26" t="s">
        <v>60</v>
      </c>
      <c r="G9" s="26">
        <v>22</v>
      </c>
      <c r="H9" s="26" t="s">
        <v>33</v>
      </c>
      <c r="I9" s="26" t="s">
        <v>61</v>
      </c>
      <c r="J9" s="26">
        <v>4.0999999999999996</v>
      </c>
    </row>
    <row r="10" spans="1:10" ht="21.75" customHeight="1" x14ac:dyDescent="0.3">
      <c r="A10" s="23" t="s">
        <v>34</v>
      </c>
      <c r="B10" s="24" t="s">
        <v>46</v>
      </c>
      <c r="C10" s="24">
        <v>46</v>
      </c>
      <c r="D10" s="24">
        <v>18</v>
      </c>
      <c r="E10" s="24">
        <v>74</v>
      </c>
      <c r="F10" s="24" t="s">
        <v>62</v>
      </c>
      <c r="G10" s="24">
        <v>16</v>
      </c>
      <c r="H10" s="24" t="s">
        <v>33</v>
      </c>
      <c r="I10" s="24" t="s">
        <v>50</v>
      </c>
      <c r="J10" s="24">
        <v>4.3</v>
      </c>
    </row>
    <row r="11" spans="1:10" ht="21.75" customHeight="1" x14ac:dyDescent="0.3">
      <c r="A11" s="25" t="s">
        <v>35</v>
      </c>
      <c r="B11" s="26" t="s">
        <v>46</v>
      </c>
      <c r="C11" s="26">
        <v>42</v>
      </c>
      <c r="D11" s="26">
        <v>14</v>
      </c>
      <c r="E11" s="26">
        <v>71</v>
      </c>
      <c r="F11" s="26" t="s">
        <v>63</v>
      </c>
      <c r="G11" s="26">
        <v>15</v>
      </c>
      <c r="H11" s="26" t="s">
        <v>33</v>
      </c>
      <c r="I11" s="26" t="s">
        <v>61</v>
      </c>
      <c r="J11" s="26">
        <v>3.9</v>
      </c>
    </row>
    <row r="12" spans="1:10" ht="21.75" customHeight="1" x14ac:dyDescent="0.3">
      <c r="A12" s="23" t="s">
        <v>36</v>
      </c>
      <c r="B12" s="24" t="s">
        <v>46</v>
      </c>
      <c r="C12" s="24">
        <v>23</v>
      </c>
      <c r="D12" s="24">
        <v>8</v>
      </c>
      <c r="E12" s="24">
        <v>67</v>
      </c>
      <c r="F12" s="24" t="s">
        <v>64</v>
      </c>
      <c r="G12" s="24">
        <v>30</v>
      </c>
      <c r="H12" s="24" t="s">
        <v>33</v>
      </c>
      <c r="I12" s="24" t="s">
        <v>65</v>
      </c>
      <c r="J12" s="24">
        <v>3.5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zoomScaleNormal="100" workbookViewId="0"/>
  </sheetViews>
  <sheetFormatPr defaultColWidth="8.6640625" defaultRowHeight="14.4" x14ac:dyDescent="0.3"/>
  <cols>
    <col min="1" max="4" width="22" customWidth="1"/>
  </cols>
  <sheetData>
    <row r="1" spans="1:4" x14ac:dyDescent="0.3">
      <c r="A1" s="27" t="s">
        <v>17</v>
      </c>
      <c r="B1" s="27" t="s">
        <v>66</v>
      </c>
      <c r="C1" s="27" t="s">
        <v>67</v>
      </c>
      <c r="D1" s="27" t="s">
        <v>20</v>
      </c>
    </row>
    <row r="2" spans="1:4" x14ac:dyDescent="0.3">
      <c r="A2" s="28" t="s">
        <v>23</v>
      </c>
      <c r="B2" s="29">
        <v>78</v>
      </c>
      <c r="C2" s="29">
        <v>12</v>
      </c>
      <c r="D2" s="29">
        <v>107</v>
      </c>
    </row>
    <row r="3" spans="1:4" x14ac:dyDescent="0.3">
      <c r="A3" s="28" t="s">
        <v>25</v>
      </c>
      <c r="B3" s="29">
        <v>72</v>
      </c>
      <c r="C3" s="29">
        <v>10</v>
      </c>
      <c r="D3" s="29">
        <v>67</v>
      </c>
    </row>
    <row r="4" spans="1:4" x14ac:dyDescent="0.3">
      <c r="A4" s="28" t="s">
        <v>26</v>
      </c>
      <c r="B4" s="29">
        <v>69</v>
      </c>
      <c r="C4" s="29">
        <v>20</v>
      </c>
      <c r="D4" s="29">
        <v>29</v>
      </c>
    </row>
    <row r="5" spans="1:4" x14ac:dyDescent="0.3">
      <c r="A5" s="28" t="s">
        <v>27</v>
      </c>
      <c r="B5" s="29">
        <v>65</v>
      </c>
      <c r="C5" s="29">
        <v>18</v>
      </c>
      <c r="D5" s="29">
        <v>55</v>
      </c>
    </row>
    <row r="6" spans="1:4" x14ac:dyDescent="0.3">
      <c r="A6" s="28" t="s">
        <v>68</v>
      </c>
      <c r="B6" s="29">
        <v>61</v>
      </c>
      <c r="C6" s="29">
        <v>11</v>
      </c>
      <c r="D6" s="29">
        <v>19</v>
      </c>
    </row>
    <row r="7" spans="1:4" x14ac:dyDescent="0.3">
      <c r="A7" s="28" t="s">
        <v>69</v>
      </c>
      <c r="B7" s="29">
        <v>58</v>
      </c>
      <c r="C7" s="29">
        <v>9</v>
      </c>
      <c r="D7" s="29">
        <v>24</v>
      </c>
    </row>
    <row r="8" spans="1:4" x14ac:dyDescent="0.3">
      <c r="A8" s="28" t="s">
        <v>31</v>
      </c>
      <c r="B8" s="29">
        <v>55</v>
      </c>
      <c r="C8" s="29">
        <v>14</v>
      </c>
      <c r="D8" s="29">
        <v>37</v>
      </c>
    </row>
    <row r="9" spans="1:4" x14ac:dyDescent="0.3">
      <c r="A9" s="28" t="s">
        <v>32</v>
      </c>
      <c r="B9" s="29">
        <v>48</v>
      </c>
      <c r="C9" s="29">
        <v>22</v>
      </c>
      <c r="D9" s="29">
        <v>11</v>
      </c>
    </row>
    <row r="10" spans="1:4" x14ac:dyDescent="0.3">
      <c r="A10" s="28" t="s">
        <v>34</v>
      </c>
      <c r="B10" s="29">
        <v>46</v>
      </c>
      <c r="C10" s="29">
        <v>16</v>
      </c>
      <c r="D10" s="29">
        <v>18</v>
      </c>
    </row>
    <row r="11" spans="1:4" x14ac:dyDescent="0.3">
      <c r="A11" s="28" t="s">
        <v>70</v>
      </c>
      <c r="B11" s="29">
        <v>42</v>
      </c>
      <c r="C11" s="29">
        <v>15</v>
      </c>
      <c r="D11" s="29">
        <v>14</v>
      </c>
    </row>
    <row r="12" spans="1:4" x14ac:dyDescent="0.3">
      <c r="A12" s="28" t="s">
        <v>36</v>
      </c>
      <c r="B12" s="29">
        <v>23</v>
      </c>
      <c r="C12" s="29">
        <v>30</v>
      </c>
      <c r="D12" s="29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Kartika Choudhary</cp:lastModifiedBy>
  <cp:revision>1</cp:revision>
  <dcterms:created xsi:type="dcterms:W3CDTF">2026-03-20T14:30:23Z</dcterms:created>
  <dcterms:modified xsi:type="dcterms:W3CDTF">2026-03-20T14:54:02Z</dcterms:modified>
  <dc:language>en-US</dc:language>
</cp:coreProperties>
</file>